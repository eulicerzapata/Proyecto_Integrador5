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FAC994D9-E3EF-46B0-B4D2-60DB6E32FC42}" xr6:coauthVersionLast="47" xr6:coauthVersionMax="47" xr10:uidLastSave="{00000000-0000-0000-0000-000000000000}"/>
  <bookViews>
    <workbookView xWindow="28695" yWindow="0" windowWidth="29010" windowHeight="15585" activeTab="1" xr2:uid="{377FBAF4-28BC-4853-BCB5-4DBC4DD5D549}"/>
  </bookViews>
  <sheets>
    <sheet name="Hoja2" sheetId="2" r:id="rId1"/>
    <sheet name="Hoja1" sheetId="1" r:id="rId2"/>
  </sheets>
  <definedNames>
    <definedName name="SegmentaciónDeDatos_Responsable">#N/A</definedName>
    <definedName name="SegmentaciónDeDatos_Sprint">#N/A</definedName>
  </definedNames>
  <calcPr calcId="191029"/>
  <pivotCaches>
    <pivotCache cacheId="3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3" i="1"/>
  <c r="I14" i="1"/>
  <c r="I15" i="1"/>
  <c r="I16" i="1"/>
  <c r="I17" i="1"/>
  <c r="G12" i="1"/>
  <c r="G10" i="1" s="1"/>
  <c r="G5" i="1" s="1"/>
  <c r="G4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H5" i="1"/>
  <c r="I5" i="1" s="1"/>
  <c r="H12" i="1"/>
  <c r="I12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M6" i="1"/>
  <c r="M7" i="1"/>
  <c r="M8" i="1"/>
  <c r="M9" i="1"/>
  <c r="M10" i="1"/>
  <c r="M11" i="1"/>
  <c r="M13" i="1"/>
  <c r="M14" i="1"/>
  <c r="M15" i="1"/>
  <c r="M16" i="1"/>
  <c r="M17" i="1"/>
  <c r="K4" i="1"/>
  <c r="H4" i="1" l="1"/>
  <c r="M12" i="1"/>
  <c r="M5" i="1"/>
  <c r="M4" i="1" l="1"/>
  <c r="I4" i="1"/>
</calcChain>
</file>

<file path=xl/sharedStrings.xml><?xml version="1.0" encoding="utf-8"?>
<sst xmlns="http://schemas.openxmlformats.org/spreadsheetml/2006/main" count="93" uniqueCount="42">
  <si>
    <t>Epica</t>
  </si>
  <si>
    <t>Entrega de valor</t>
  </si>
  <si>
    <t>HA/HU</t>
  </si>
  <si>
    <t>Responsable</t>
  </si>
  <si>
    <t>Progreso</t>
  </si>
  <si>
    <t>Fecha Inicio</t>
  </si>
  <si>
    <t>Fecha fin</t>
  </si>
  <si>
    <t>%Dias</t>
  </si>
  <si>
    <t>Entregable 1</t>
  </si>
  <si>
    <t>Epica 1</t>
  </si>
  <si>
    <t>Entregable 2</t>
  </si>
  <si>
    <t>Actividad 1-1</t>
  </si>
  <si>
    <t>Actividad 1-2</t>
  </si>
  <si>
    <t>Actividad 1-3</t>
  </si>
  <si>
    <t>Actividad 1-4</t>
  </si>
  <si>
    <t>Actividad 1-5</t>
  </si>
  <si>
    <t>Actividad 1-6</t>
  </si>
  <si>
    <t>Actividad 2-1</t>
  </si>
  <si>
    <t>Actividad 2-2</t>
  </si>
  <si>
    <t>Actividad 2-3</t>
  </si>
  <si>
    <t>Actividad 2-4</t>
  </si>
  <si>
    <t>Actividad 2-5</t>
  </si>
  <si>
    <t>Entregable Epica</t>
  </si>
  <si>
    <t>Sprint</t>
  </si>
  <si>
    <t>Duracion Dias</t>
  </si>
  <si>
    <t>sprint 287</t>
  </si>
  <si>
    <t>sprint 290</t>
  </si>
  <si>
    <t>sprint 270</t>
  </si>
  <si>
    <t>sprint 263</t>
  </si>
  <si>
    <t>sprint 265</t>
  </si>
  <si>
    <t>sprint 268</t>
  </si>
  <si>
    <t>sprint 285</t>
  </si>
  <si>
    <t>Carlos</t>
  </si>
  <si>
    <t>Andres</t>
  </si>
  <si>
    <t>Ivan</t>
  </si>
  <si>
    <t>Rol</t>
  </si>
  <si>
    <t>Puntos</t>
  </si>
  <si>
    <t>Suma de Puntos</t>
  </si>
  <si>
    <t>Etiquetas de fila</t>
  </si>
  <si>
    <t>Total general</t>
  </si>
  <si>
    <t>Restante</t>
  </si>
  <si>
    <t>Cuenta de HA/HU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</si>
</sst>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6"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Hoja1!$H$4:$H$17</c:f>
                <c:numCache>
                  <c:formatCode>General</c:formatCode>
                  <c:ptCount val="14"/>
                  <c:pt idx="0">
                    <c:v>0.41000000000000003</c:v>
                  </c:pt>
                  <c:pt idx="1">
                    <c:v>0.40000000000000008</c:v>
                  </c:pt>
                  <c:pt idx="2">
                    <c:v>0.4</c:v>
                  </c:pt>
                  <c:pt idx="3">
                    <c:v>0.2</c:v>
                  </c:pt>
                  <c:pt idx="4">
                    <c:v>0</c:v>
                  </c:pt>
                  <c:pt idx="5">
                    <c:v>0.8</c:v>
                  </c:pt>
                  <c:pt idx="6">
                    <c:v>0</c:v>
                  </c:pt>
                  <c:pt idx="7">
                    <c:v>1</c:v>
                  </c:pt>
                  <c:pt idx="8">
                    <c:v>0.42000000000000004</c:v>
                  </c:pt>
                  <c:pt idx="9">
                    <c:v>0.1</c:v>
                  </c:pt>
                  <c:pt idx="10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</c:v>
                  </c:pt>
                </c:numCache>
              </c:numRef>
            </c:minus>
            <c:spPr>
              <a:noFill/>
              <a:ln w="152400" cap="flat" cmpd="sng" algn="ctr">
                <a:solidFill>
                  <a:schemeClr val="accent6">
                    <a:lumMod val="75000"/>
                    <a:alpha val="68000"/>
                  </a:schemeClr>
                </a:solidFill>
                <a:round/>
              </a:ln>
              <a:effectLst/>
            </c:spPr>
          </c:errBars>
          <c:cat>
            <c:strRef>
              <c:f>Hoja1!$C$4:$C$17</c:f>
              <c:strCache>
                <c:ptCount val="14"/>
                <c:pt idx="0">
                  <c:v>Epica 1</c:v>
                </c:pt>
                <c:pt idx="1">
                  <c:v>Entregable 1</c:v>
                </c:pt>
                <c:pt idx="2">
                  <c:v>Actividad 1-1</c:v>
                </c:pt>
                <c:pt idx="3">
                  <c:v>Actividad 1-2</c:v>
                </c:pt>
                <c:pt idx="4">
                  <c:v>Actividad 1-3</c:v>
                </c:pt>
                <c:pt idx="5">
                  <c:v>Actividad 1-4</c:v>
                </c:pt>
                <c:pt idx="6">
                  <c:v>Actividad 1-5</c:v>
                </c:pt>
                <c:pt idx="7">
                  <c:v>Actividad 1-6</c:v>
                </c:pt>
                <c:pt idx="8">
                  <c:v>Entregable 2</c:v>
                </c:pt>
                <c:pt idx="9">
                  <c:v>Actividad 2-1</c:v>
                </c:pt>
                <c:pt idx="10">
                  <c:v>Actividad 2-2</c:v>
                </c:pt>
                <c:pt idx="11">
                  <c:v>Actividad 2-3</c:v>
                </c:pt>
                <c:pt idx="12">
                  <c:v>Actividad 2-4</c:v>
                </c:pt>
                <c:pt idx="13">
                  <c:v>Actividad 2-5</c:v>
                </c:pt>
              </c:strCache>
            </c:strRef>
          </c:cat>
          <c:val>
            <c:numRef>
              <c:f>Hoja1!$J$4:$J$17</c:f>
              <c:numCache>
                <c:formatCode>m/d/yyyy</c:formatCode>
                <c:ptCount val="14"/>
                <c:pt idx="0">
                  <c:v>45929</c:v>
                </c:pt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45934</c:v>
                </c:pt>
                <c:pt idx="6">
                  <c:v>45935</c:v>
                </c:pt>
                <c:pt idx="7">
                  <c:v>45936</c:v>
                </c:pt>
                <c:pt idx="8">
                  <c:v>45945</c:v>
                </c:pt>
                <c:pt idx="9">
                  <c:v>45947</c:v>
                </c:pt>
                <c:pt idx="10">
                  <c:v>45948</c:v>
                </c:pt>
                <c:pt idx="11">
                  <c:v>45949</c:v>
                </c:pt>
                <c:pt idx="12">
                  <c:v>45950</c:v>
                </c:pt>
                <c:pt idx="13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9-467B-8BBE-7B31F10E2411}"/>
            </c:ext>
          </c:extLst>
        </c:ser>
        <c:ser>
          <c:idx val="1"/>
          <c:order val="1"/>
          <c:tx>
            <c:strRef>
              <c:f>Hoja1!$L$4:$L$17</c:f>
              <c:strCache>
                <c:ptCount val="14"/>
                <c:pt idx="0">
                  <c:v>30</c:v>
                </c:pt>
                <c:pt idx="1">
                  <c:v>15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F9-467B-8BBE-7B31F10E24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F9-467B-8BBE-7B31F10E241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DF9-467B-8BBE-7B31F10E241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E7BEB88-B6CB-4617-9D47-084E18520C25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DF9-467B-8BBE-7B31F10E2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EC035C-7B4A-4DF2-AC8C-498AA411EDA5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F9-467B-8BBE-7B31F10E2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DCDD98-8B52-4B30-9AB1-3866A44DEB9C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F9-467B-8BBE-7B31F10E2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0F3CBB-E054-4294-8AFE-2097CAABFAB6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F9-467B-8BBE-7B31F10E24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3D6347C-D195-40AE-9478-98E12138DA9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F9-467B-8BBE-7B31F10E241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FAA5A2-03BC-4B6D-A870-77907F4F3347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F9-467B-8BBE-7B31F10E241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AA497F-AA2F-4B21-AB01-26B4135DCD05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F9-467B-8BBE-7B31F10E241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35AE31-04CF-417F-B333-420A4E35F2CF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F9-467B-8BBE-7B31F10E241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4EC820D-14E4-4935-A718-6B48A83F6E2E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F9-467B-8BBE-7B31F10E241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C12F07-DBAE-47BB-8E59-01E6F07A1755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F9-467B-8BBE-7B31F10E241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6C9B23-D741-43E2-9948-156F9B56A9D1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F9-467B-8BBE-7B31F10E241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E7B9A3E-50F4-4B97-94B0-C34D11C5040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F9-467B-8BBE-7B31F10E241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782A647-A62C-4B87-B704-5A822464CFC3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F9-467B-8BBE-7B31F10E241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00AF40B-2A65-4991-A09F-F298C1F6440E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F9-467B-8BBE-7B31F10E24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Hoja1!$C$4:$C$17</c:f>
              <c:strCache>
                <c:ptCount val="14"/>
                <c:pt idx="0">
                  <c:v>Epica 1</c:v>
                </c:pt>
                <c:pt idx="1">
                  <c:v>Entregable 1</c:v>
                </c:pt>
                <c:pt idx="2">
                  <c:v>Actividad 1-1</c:v>
                </c:pt>
                <c:pt idx="3">
                  <c:v>Actividad 1-2</c:v>
                </c:pt>
                <c:pt idx="4">
                  <c:v>Actividad 1-3</c:v>
                </c:pt>
                <c:pt idx="5">
                  <c:v>Actividad 1-4</c:v>
                </c:pt>
                <c:pt idx="6">
                  <c:v>Actividad 1-5</c:v>
                </c:pt>
                <c:pt idx="7">
                  <c:v>Actividad 1-6</c:v>
                </c:pt>
                <c:pt idx="8">
                  <c:v>Entregable 2</c:v>
                </c:pt>
                <c:pt idx="9">
                  <c:v>Actividad 2-1</c:v>
                </c:pt>
                <c:pt idx="10">
                  <c:v>Actividad 2-2</c:v>
                </c:pt>
                <c:pt idx="11">
                  <c:v>Actividad 2-3</c:v>
                </c:pt>
                <c:pt idx="12">
                  <c:v>Actividad 2-4</c:v>
                </c:pt>
                <c:pt idx="13">
                  <c:v>Actividad 2-5</c:v>
                </c:pt>
              </c:strCache>
            </c:strRef>
          </c:cat>
          <c:val>
            <c:numRef>
              <c:f>Hoja1!$L$4:$L$17</c:f>
              <c:numCache>
                <c:formatCode>General</c:formatCode>
                <c:ptCount val="14"/>
                <c:pt idx="0">
                  <c:v>30</c:v>
                </c:pt>
                <c:pt idx="1">
                  <c:v>15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Hoja1!$H$4:$H$17</c15:f>
                <c15:dlblRangeCache>
                  <c:ptCount val="14"/>
                  <c:pt idx="0">
                    <c:v>41%</c:v>
                  </c:pt>
                  <c:pt idx="1">
                    <c:v>40%</c:v>
                  </c:pt>
                  <c:pt idx="2">
                    <c:v>40%</c:v>
                  </c:pt>
                  <c:pt idx="3">
                    <c:v>20%</c:v>
                  </c:pt>
                  <c:pt idx="4">
                    <c:v>0%</c:v>
                  </c:pt>
                  <c:pt idx="5">
                    <c:v>80%</c:v>
                  </c:pt>
                  <c:pt idx="6">
                    <c:v>0%</c:v>
                  </c:pt>
                  <c:pt idx="7">
                    <c:v>100%</c:v>
                  </c:pt>
                  <c:pt idx="8">
                    <c:v>42%</c:v>
                  </c:pt>
                  <c:pt idx="9">
                    <c:v>10%</c:v>
                  </c:pt>
                  <c:pt idx="10">
                    <c:v>100%</c:v>
                  </c:pt>
                  <c:pt idx="11">
                    <c:v>0%</c:v>
                  </c:pt>
                  <c:pt idx="12">
                    <c:v>100%</c:v>
                  </c:pt>
                  <c:pt idx="13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DF9-467B-8BBE-7B31F10E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154554767"/>
        <c:axId val="1154556207"/>
      </c:barChart>
      <c:catAx>
        <c:axId val="11545547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6207"/>
        <c:crosses val="autoZero"/>
        <c:auto val="1"/>
        <c:lblAlgn val="ctr"/>
        <c:lblOffset val="100"/>
        <c:noMultiLvlLbl val="0"/>
      </c:catAx>
      <c:valAx>
        <c:axId val="1154556207"/>
        <c:scaling>
          <c:orientation val="minMax"/>
          <c:max val="45959"/>
          <c:min val="4592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Hoja1!$E$5</c:f>
              <c:strCache>
                <c:ptCount val="1"/>
                <c:pt idx="0">
                  <c:v>Carlos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3C-45CD-8463-ACD327C3C786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3C-45CD-8463-ACD327C3C786}"/>
              </c:ext>
            </c:extLst>
          </c:dPt>
          <c:dLbls>
            <c:dLbl>
              <c:idx val="0"/>
              <c:layout>
                <c:manualLayout>
                  <c:x val="0.20939189064680661"/>
                  <c:y val="-3.579418848937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3C-45CD-8463-ACD327C3C786}"/>
                </c:ext>
              </c:extLst>
            </c:dLbl>
            <c:dLbl>
              <c:idx val="1"/>
              <c:layout>
                <c:manualLayout>
                  <c:x val="-0.20323330562778288"/>
                  <c:y val="1.4317675395751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3C-45CD-8463-ACD327C3C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Hoja1!$H$5:$I$5</c:f>
              <c:numCache>
                <c:formatCode>0%</c:formatCode>
                <c:ptCount val="2"/>
                <c:pt idx="0">
                  <c:v>0.40000000000000008</c:v>
                </c:pt>
                <c:pt idx="1">
                  <c:v>0.59999999999999987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C-45CD-8463-ACD327C3C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10</xdr:col>
      <xdr:colOff>523875</xdr:colOff>
      <xdr:row>0</xdr:row>
      <xdr:rowOff>3486150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20D8F-95A0-E15D-1A5F-0FA90E4D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571500</xdr:colOff>
      <xdr:row>0</xdr:row>
      <xdr:rowOff>104775</xdr:rowOff>
    </xdr:from>
    <xdr:to>
      <xdr:col>12</xdr:col>
      <xdr:colOff>876300</xdr:colOff>
      <xdr:row>0</xdr:row>
      <xdr:rowOff>1514475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Responsable">
              <a:extLst>
                <a:ext uri="{FF2B5EF4-FFF2-40B4-BE49-F238E27FC236}">
                  <a16:creationId xmlns:a16="http://schemas.microsoft.com/office/drawing/2014/main" id="{189162A5-32AD-6205-E84E-677E102B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1828" y="104775"/>
              <a:ext cx="211455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13</xdr:col>
      <xdr:colOff>0</xdr:colOff>
      <xdr:row>0</xdr:row>
      <xdr:rowOff>2428875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34769BC-809A-40ED-136C-2F6868F62CDC}"/>
            </a:ext>
          </a:extLst>
        </xdr:cNvPr>
        <xdr:cNvSpPr txBox="1"/>
      </xdr:nvSpPr>
      <xdr:spPr>
        <a:xfrm>
          <a:off x="11858625" y="24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457200</xdr:colOff>
      <xdr:row>0</xdr:row>
      <xdr:rowOff>1962150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86768-EDBF-8023-D6D8-DDAD9EC74AEF}"/>
            </a:ext>
          </a:extLst>
        </xdr:cNvPr>
        <xdr:cNvSpPr txBox="1"/>
      </xdr:nvSpPr>
      <xdr:spPr>
        <a:xfrm>
          <a:off x="13811250" y="19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>
            <a:ln>
              <a:noFill/>
            </a:ln>
            <a:noFill/>
          </a:endParaRPr>
        </a:p>
      </xdr:txBody>
    </xdr:sp>
    <xdr:clientData/>
  </xdr:oneCellAnchor>
  <xdr:oneCellAnchor>
    <xdr:from>
      <xdr:col>11</xdr:col>
      <xdr:colOff>447675</xdr:colOff>
      <xdr:row>0</xdr:row>
      <xdr:rowOff>1504949</xdr:rowOff>
    </xdr:from>
    <xdr:ext cx="1038225" cy="593239"/>
    <xdr:sp macro="" textlink="$H4">
      <xdr:nvSpPr>
        <xdr:cNvPr id="14" name="CuadroTexto 13">
          <a:extLst>
            <a:ext uri="{FF2B5EF4-FFF2-40B4-BE49-F238E27FC236}">
              <a16:creationId xmlns:a16="http://schemas.microsoft.com/office/drawing/2014/main" id="{CB1565EB-D3A3-FCE3-20F7-EA8A8CE9472A}"/>
            </a:ext>
          </a:extLst>
        </xdr:cNvPr>
        <xdr:cNvSpPr txBox="1"/>
      </xdr:nvSpPr>
      <xdr:spPr>
        <a:xfrm>
          <a:off x="9553575" y="1504949"/>
          <a:ext cx="1038225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F6C04CC-7A38-46DD-AF5E-ECFAB45CA560}" type="TxLink">
            <a:rPr lang="en-US" sz="3200" b="1" i="0" u="none" strike="noStrike">
              <a:solidFill>
                <a:srgbClr val="000000"/>
              </a:solidFill>
              <a:latin typeface="Aptos Narrow"/>
            </a:rPr>
            <a:pPr/>
            <a:t>41%</a:t>
          </a:fld>
          <a:endParaRPr lang="es-CO" sz="3200" b="1"/>
        </a:p>
      </xdr:txBody>
    </xdr:sp>
    <xdr:clientData/>
  </xdr:oneCellAnchor>
  <xdr:oneCellAnchor>
    <xdr:from>
      <xdr:col>11</xdr:col>
      <xdr:colOff>285750</xdr:colOff>
      <xdr:row>0</xdr:row>
      <xdr:rowOff>1933575</xdr:rowOff>
    </xdr:from>
    <xdr:ext cx="1156150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FEE7C47-9A3F-3874-B849-06CEDEA96D67}"/>
            </a:ext>
          </a:extLst>
        </xdr:cNvPr>
        <xdr:cNvSpPr txBox="1"/>
      </xdr:nvSpPr>
      <xdr:spPr>
        <a:xfrm>
          <a:off x="9391650" y="1933575"/>
          <a:ext cx="11561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/>
            <a:t>Avance</a:t>
          </a:r>
          <a:r>
            <a:rPr lang="es-CO" sz="1100" b="1" baseline="0"/>
            <a:t> Proyecto</a:t>
          </a:r>
          <a:endParaRPr lang="es-CO" sz="1100" b="1"/>
        </a:p>
      </xdr:txBody>
    </xdr:sp>
    <xdr:clientData/>
  </xdr:oneCellAnchor>
  <xdr:oneCellAnchor>
    <xdr:from>
      <xdr:col>11</xdr:col>
      <xdr:colOff>1038226</xdr:colOff>
      <xdr:row>0</xdr:row>
      <xdr:rowOff>2228849</xdr:rowOff>
    </xdr:from>
    <xdr:ext cx="647700" cy="374077"/>
    <xdr:sp macro="" textlink="$H5">
      <xdr:nvSpPr>
        <xdr:cNvPr id="16" name="CuadroTexto 15">
          <a:extLst>
            <a:ext uri="{FF2B5EF4-FFF2-40B4-BE49-F238E27FC236}">
              <a16:creationId xmlns:a16="http://schemas.microsoft.com/office/drawing/2014/main" id="{B897DF5F-CBCB-4537-8714-725971B8AC42}"/>
            </a:ext>
          </a:extLst>
        </xdr:cNvPr>
        <xdr:cNvSpPr txBox="1"/>
      </xdr:nvSpPr>
      <xdr:spPr>
        <a:xfrm>
          <a:off x="10144126" y="2228849"/>
          <a:ext cx="64770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8D5E252-C030-4EB4-9C2C-87A71A400C6B}" type="TxLink">
            <a:rPr lang="en-US" sz="1800" b="1" i="0" u="none" strike="noStrike">
              <a:solidFill>
                <a:schemeClr val="accent4"/>
              </a:solidFill>
              <a:latin typeface="Aptos Narrow"/>
            </a:rPr>
            <a:pPr/>
            <a:t>40%</a:t>
          </a:fld>
          <a:endParaRPr lang="es-CO" sz="1800" b="1">
            <a:solidFill>
              <a:schemeClr val="accent4"/>
            </a:solidFill>
          </a:endParaRPr>
        </a:p>
      </xdr:txBody>
    </xdr:sp>
    <xdr:clientData/>
  </xdr:oneCellAnchor>
  <xdr:oneCellAnchor>
    <xdr:from>
      <xdr:col>11</xdr:col>
      <xdr:colOff>47625</xdr:colOff>
      <xdr:row>0</xdr:row>
      <xdr:rowOff>2295525</xdr:rowOff>
    </xdr:from>
    <xdr:ext cx="911981" cy="264560"/>
    <xdr:sp macro="" textlink="$C5">
      <xdr:nvSpPr>
        <xdr:cNvPr id="17" name="CuadroTexto 16">
          <a:extLst>
            <a:ext uri="{FF2B5EF4-FFF2-40B4-BE49-F238E27FC236}">
              <a16:creationId xmlns:a16="http://schemas.microsoft.com/office/drawing/2014/main" id="{0188CA17-3731-4738-847F-01A80CB37A4A}"/>
            </a:ext>
          </a:extLst>
        </xdr:cNvPr>
        <xdr:cNvSpPr txBox="1"/>
      </xdr:nvSpPr>
      <xdr:spPr>
        <a:xfrm>
          <a:off x="9153525" y="2295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C06834C-725B-4E0D-BED8-B86E0C4FB7B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1</a:t>
          </a:fld>
          <a:endParaRPr lang="es-CO" sz="1100" b="1"/>
        </a:p>
      </xdr:txBody>
    </xdr:sp>
    <xdr:clientData/>
  </xdr:oneCellAnchor>
  <xdr:oneCellAnchor>
    <xdr:from>
      <xdr:col>11</xdr:col>
      <xdr:colOff>47625</xdr:colOff>
      <xdr:row>0</xdr:row>
      <xdr:rowOff>2676525</xdr:rowOff>
    </xdr:from>
    <xdr:ext cx="911981" cy="264560"/>
    <xdr:sp macro="" textlink="$C12">
      <xdr:nvSpPr>
        <xdr:cNvPr id="18" name="CuadroTexto 17">
          <a:extLst>
            <a:ext uri="{FF2B5EF4-FFF2-40B4-BE49-F238E27FC236}">
              <a16:creationId xmlns:a16="http://schemas.microsoft.com/office/drawing/2014/main" id="{FFF96804-A0F0-4D05-8D70-D556B0E5C533}"/>
            </a:ext>
          </a:extLst>
        </xdr:cNvPr>
        <xdr:cNvSpPr txBox="1"/>
      </xdr:nvSpPr>
      <xdr:spPr>
        <a:xfrm>
          <a:off x="9153525" y="2676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B89C85A-B573-4F72-BF9F-7212B6F619E0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2</a:t>
          </a:fld>
          <a:endParaRPr lang="es-CO" sz="1100" b="1"/>
        </a:p>
      </xdr:txBody>
    </xdr:sp>
    <xdr:clientData/>
  </xdr:oneCellAnchor>
  <xdr:oneCellAnchor>
    <xdr:from>
      <xdr:col>11</xdr:col>
      <xdr:colOff>1019176</xdr:colOff>
      <xdr:row>0</xdr:row>
      <xdr:rowOff>2609849</xdr:rowOff>
    </xdr:from>
    <xdr:ext cx="647700" cy="374077"/>
    <xdr:sp macro="" textlink="$H12">
      <xdr:nvSpPr>
        <xdr:cNvPr id="19" name="CuadroTexto 18">
          <a:extLst>
            <a:ext uri="{FF2B5EF4-FFF2-40B4-BE49-F238E27FC236}">
              <a16:creationId xmlns:a16="http://schemas.microsoft.com/office/drawing/2014/main" id="{5D33866E-4267-42FB-8969-C063A0793EC5}"/>
            </a:ext>
          </a:extLst>
        </xdr:cNvPr>
        <xdr:cNvSpPr txBox="1"/>
      </xdr:nvSpPr>
      <xdr:spPr>
        <a:xfrm>
          <a:off x="10125076" y="2609849"/>
          <a:ext cx="64770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5F24DF8B-E3A9-4003-AB4E-0B7537816EB6}" type="TxLink">
            <a:rPr lang="en-US" sz="1800" b="1" i="0" u="none" strike="noStrike">
              <a:solidFill>
                <a:schemeClr val="accent4"/>
              </a:solidFill>
              <a:latin typeface="Aptos Narrow"/>
            </a:rPr>
            <a:pPr/>
            <a:t>42%</a:t>
          </a:fld>
          <a:endParaRPr lang="es-CO" sz="1800" b="1">
            <a:solidFill>
              <a:schemeClr val="accent4"/>
            </a:solidFill>
          </a:endParaRPr>
        </a:p>
      </xdr:txBody>
    </xdr:sp>
    <xdr:clientData/>
  </xdr:oneCellAnchor>
  <xdr:twoCellAnchor>
    <xdr:from>
      <xdr:col>10</xdr:col>
      <xdr:colOff>666750</xdr:colOff>
      <xdr:row>0</xdr:row>
      <xdr:rowOff>2209800</xdr:rowOff>
    </xdr:from>
    <xdr:to>
      <xdr:col>12</xdr:col>
      <xdr:colOff>638175</xdr:colOff>
      <xdr:row>0</xdr:row>
      <xdr:rowOff>2219325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FF11CE58-CBFB-8D57-79C5-962AA81DA670}"/>
            </a:ext>
          </a:extLst>
        </xdr:cNvPr>
        <xdr:cNvCxnSpPr/>
      </xdr:nvCxnSpPr>
      <xdr:spPr>
        <a:xfrm flipV="1">
          <a:off x="9010650" y="2209800"/>
          <a:ext cx="17811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685800</xdr:colOff>
      <xdr:row>0</xdr:row>
      <xdr:rowOff>3009900</xdr:rowOff>
    </xdr:from>
    <xdr:to>
      <xdr:col>12</xdr:col>
      <xdr:colOff>657225</xdr:colOff>
      <xdr:row>0</xdr:row>
      <xdr:rowOff>3019425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9ADA7D9-A5DB-4420-A5EE-387E4E4AD96A}"/>
            </a:ext>
          </a:extLst>
        </xdr:cNvPr>
        <xdr:cNvCxnSpPr/>
      </xdr:nvCxnSpPr>
      <xdr:spPr>
        <a:xfrm flipV="1">
          <a:off x="9029700" y="3009900"/>
          <a:ext cx="17811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576263</xdr:colOff>
      <xdr:row>0</xdr:row>
      <xdr:rowOff>2494359</xdr:rowOff>
    </xdr:from>
    <xdr:to>
      <xdr:col>12</xdr:col>
      <xdr:colOff>828675</xdr:colOff>
      <xdr:row>1</xdr:row>
      <xdr:rowOff>95249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CF8A926-3541-0EA5-4235-040656BA2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0</xdr:row>
      <xdr:rowOff>3516923</xdr:rowOff>
    </xdr:from>
    <xdr:to>
      <xdr:col>10</xdr:col>
      <xdr:colOff>505558</xdr:colOff>
      <xdr:row>1</xdr:row>
      <xdr:rowOff>161192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Sprint">
              <a:extLst>
                <a:ext uri="{FF2B5EF4-FFF2-40B4-BE49-F238E27FC236}">
                  <a16:creationId xmlns:a16="http://schemas.microsoft.com/office/drawing/2014/main" id="{5F5BE342-FFFF-DC09-D9A3-F73A117E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16923"/>
              <a:ext cx="8858250" cy="813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32.770389004632" createdVersion="8" refreshedVersion="8" minRefreshableVersion="3" recordCount="14" xr:uid="{EFD0EDF6-4B4E-41D8-9799-58593E5E5F89}">
  <cacheSource type="worksheet">
    <worksheetSource name="Tabla1"/>
  </cacheSource>
  <cacheFields count="12">
    <cacheField name="Epica" numFmtId="0">
      <sharedItems count="1">
        <s v="Epica 1"/>
      </sharedItems>
    </cacheField>
    <cacheField name="Entrega de valor" numFmtId="0">
      <sharedItems/>
    </cacheField>
    <cacheField name="HA/HU" numFmtId="0">
      <sharedItems/>
    </cacheField>
    <cacheField name="Sprint" numFmtId="0">
      <sharedItems count="7">
        <s v="sprint 290"/>
        <s v="sprint 270"/>
        <s v="sprint 263"/>
        <s v="sprint 265"/>
        <s v="sprint 268"/>
        <s v="sprint 285"/>
        <s v="sprint 287"/>
      </sharedItems>
    </cacheField>
    <cacheField name="Responsable" numFmtId="0">
      <sharedItems count="3">
        <s v="Ivan"/>
        <s v="Carlos"/>
        <s v="Andres"/>
      </sharedItems>
    </cacheField>
    <cacheField name="Rol" numFmtId="0">
      <sharedItems count="3">
        <s v="PO"/>
        <s v="bankend"/>
        <s v="Frontend"/>
      </sharedItems>
    </cacheField>
    <cacheField name="Puntos" numFmtId="0">
      <sharedItems containsSemiMixedTypes="0" containsString="0" containsNumber="1" containsInteger="1" minValue="3" maxValue="271" count="10">
        <n v="271"/>
        <n v="138"/>
        <n v="8"/>
        <n v="3"/>
        <n v="7"/>
        <n v="112"/>
        <n v="5"/>
        <n v="60"/>
        <n v="13"/>
        <n v="21"/>
      </sharedItems>
    </cacheField>
    <cacheField name="Progreso" numFmtId="9">
      <sharedItems containsSemiMixedTypes="0" containsString="0" containsNumber="1" minValue="0" maxValue="1"/>
    </cacheField>
    <cacheField name="Fecha Inicio" numFmtId="14">
      <sharedItems containsSemiMixedTypes="0" containsNonDate="0" containsDate="1" containsString="0" minDate="2025-09-29T00:00:00" maxDate="2025-10-24T00:00:00"/>
    </cacheField>
    <cacheField name="Fecha fin" numFmtId="14">
      <sharedItems containsSemiMixedTypes="0" containsNonDate="0" containsDate="1" containsString="0" minDate="2025-10-07T00:00:00" maxDate="2025-10-31T00:00:00"/>
    </cacheField>
    <cacheField name="Duracion Dias" numFmtId="0">
      <sharedItems containsSemiMixedTypes="0" containsString="0" containsNumber="1" containsInteger="1" minValue="6" maxValue="30"/>
    </cacheField>
    <cacheField name="%Dias" numFmtId="0">
      <sharedItems containsSemiMixedTypes="0" containsString="0" containsNumber="1" minValue="0" maxValue="7.4499999999999993"/>
    </cacheField>
  </cacheFields>
  <extLst>
    <ext xmlns:x14="http://schemas.microsoft.com/office/spreadsheetml/2009/9/main" uri="{725AE2AE-9491-48be-B2B4-4EB974FC3084}">
      <x14:pivotCacheDefinition pivotCacheId="1073599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Entregable Epica"/>
    <s v="Epica 1"/>
    <x v="0"/>
    <x v="0"/>
    <x v="0"/>
    <x v="0"/>
    <n v="0.24833333333333332"/>
    <d v="2025-09-29T00:00:00"/>
    <d v="2025-10-29T00:00:00"/>
    <n v="30"/>
    <n v="7.4499999999999993"/>
  </r>
  <r>
    <x v="0"/>
    <s v="Entregable 1"/>
    <s v="Entregable 1"/>
    <x v="1"/>
    <x v="1"/>
    <x v="1"/>
    <x v="1"/>
    <n v="0.21666666666666667"/>
    <d v="2025-09-30T00:00:00"/>
    <d v="2025-10-15T00:00:00"/>
    <n v="15"/>
    <n v="3.25"/>
  </r>
  <r>
    <x v="0"/>
    <s v="Entregable 1"/>
    <s v="Actividad 1-1"/>
    <x v="2"/>
    <x v="2"/>
    <x v="2"/>
    <x v="2"/>
    <n v="0.1"/>
    <d v="2025-10-01T00:00:00"/>
    <d v="2025-10-07T00:00:00"/>
    <n v="6"/>
    <n v="0.60000000000000009"/>
  </r>
  <r>
    <x v="0"/>
    <s v="Entregable 1"/>
    <s v="Actividad 1-2"/>
    <x v="2"/>
    <x v="1"/>
    <x v="1"/>
    <x v="3"/>
    <n v="0.2"/>
    <d v="2025-10-02T00:00:00"/>
    <d v="2025-10-08T00:00:00"/>
    <n v="6"/>
    <n v="1.2000000000000002"/>
  </r>
  <r>
    <x v="0"/>
    <s v="Entregable 1"/>
    <s v="Actividad 1-3"/>
    <x v="3"/>
    <x v="1"/>
    <x v="1"/>
    <x v="4"/>
    <n v="0"/>
    <d v="2025-10-03T00:00:00"/>
    <d v="2025-10-09T00:00:00"/>
    <n v="6"/>
    <n v="0"/>
  </r>
  <r>
    <x v="0"/>
    <s v="Entregable 1"/>
    <s v="Actividad 1-4"/>
    <x v="3"/>
    <x v="0"/>
    <x v="0"/>
    <x v="3"/>
    <n v="0"/>
    <d v="2025-10-04T00:00:00"/>
    <d v="2025-10-10T00:00:00"/>
    <n v="6"/>
    <n v="0"/>
  </r>
  <r>
    <x v="0"/>
    <s v="Entregable 1"/>
    <s v="Actividad 1-5"/>
    <x v="3"/>
    <x v="2"/>
    <x v="2"/>
    <x v="5"/>
    <n v="0"/>
    <d v="2025-10-05T00:00:00"/>
    <d v="2025-10-11T00:00:00"/>
    <n v="6"/>
    <n v="0"/>
  </r>
  <r>
    <x v="0"/>
    <s v="Entregable 1"/>
    <s v="Actividad 1-6"/>
    <x v="4"/>
    <x v="0"/>
    <x v="0"/>
    <x v="6"/>
    <n v="1"/>
    <d v="2025-10-06T00:00:00"/>
    <d v="2025-10-12T00:00:00"/>
    <n v="6"/>
    <n v="6"/>
  </r>
  <r>
    <x v="0"/>
    <s v="Entregable 2"/>
    <s v="Entregable 2"/>
    <x v="0"/>
    <x v="2"/>
    <x v="2"/>
    <x v="7"/>
    <n v="0.27999999999999997"/>
    <d v="2025-10-15T00:00:00"/>
    <d v="2025-10-30T00:00:00"/>
    <n v="15"/>
    <n v="4.1999999999999993"/>
  </r>
  <r>
    <x v="0"/>
    <s v="Entregable 2"/>
    <s v="Actividad 2-1"/>
    <x v="5"/>
    <x v="1"/>
    <x v="1"/>
    <x v="8"/>
    <n v="0.1"/>
    <d v="2025-10-17T00:00:00"/>
    <d v="2025-10-23T00:00:00"/>
    <n v="6"/>
    <n v="0.60000000000000009"/>
  </r>
  <r>
    <x v="0"/>
    <s v="Entregable 2"/>
    <s v="Actividad 2-2"/>
    <x v="5"/>
    <x v="2"/>
    <x v="2"/>
    <x v="9"/>
    <n v="0.3"/>
    <d v="2025-10-18T00:00:00"/>
    <d v="2025-10-24T00:00:00"/>
    <n v="6"/>
    <n v="1.7999999999999998"/>
  </r>
  <r>
    <x v="0"/>
    <s v="Entregable 2"/>
    <s v="Actividad 2-3"/>
    <x v="6"/>
    <x v="1"/>
    <x v="1"/>
    <x v="6"/>
    <n v="0"/>
    <d v="2025-10-19T00:00:00"/>
    <d v="2025-10-25T00:00:00"/>
    <n v="6"/>
    <n v="0"/>
  </r>
  <r>
    <x v="0"/>
    <s v="Entregable 2"/>
    <s v="Actividad 2-4"/>
    <x v="6"/>
    <x v="2"/>
    <x v="2"/>
    <x v="2"/>
    <n v="1"/>
    <d v="2025-10-20T00:00:00"/>
    <d v="2025-10-26T00:00:00"/>
    <n v="6"/>
    <n v="6"/>
  </r>
  <r>
    <x v="0"/>
    <s v="Entregable 2"/>
    <s v="Actividad 2-5"/>
    <x v="6"/>
    <x v="2"/>
    <x v="2"/>
    <x v="8"/>
    <n v="0"/>
    <d v="2025-10-23T00:00:00"/>
    <d v="2025-10-29T00:00:00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1422A-BF63-44B1-AC15-7967264F94B4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8:M20" firstHeaderRow="1" firstDataRow="1" firstDataCol="1"/>
  <pivotFields count="12">
    <pivotField axis="axisRow" showAll="0">
      <items count="2">
        <item x="0"/>
        <item t="default"/>
      </items>
    </pivotField>
    <pivotField showAll="0"/>
    <pivotField dataField="1" showAll="0"/>
    <pivotField showAll="0">
      <items count="8">
        <item x="2"/>
        <item x="3"/>
        <item x="4"/>
        <item x="1"/>
        <item x="5"/>
        <item x="6"/>
        <item x="0"/>
        <item t="default"/>
      </items>
    </pivotField>
    <pivotField showAll="0"/>
    <pivotField showAll="0"/>
    <pivotField showAll="0"/>
    <pivotField numFmtId="9" showAll="0"/>
    <pivotField numFmtId="14" showAll="0"/>
    <pivotField numFmtId="14"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HA/HU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C73D-3E23-402A-85F0-D53D5A52D237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5" firstHeaderRow="1" firstDataRow="1" firstDataCol="1"/>
  <pivotFields count="1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>
      <items count="11">
        <item x="3"/>
        <item x="6"/>
        <item x="4"/>
        <item x="2"/>
        <item x="8"/>
        <item x="9"/>
        <item x="7"/>
        <item x="5"/>
        <item x="1"/>
        <item x="0"/>
        <item t="default"/>
      </items>
    </pivotField>
    <pivotField numFmtId="9" showAll="0"/>
    <pivotField numFmtId="14" showAll="0"/>
    <pivotField numFmtId="14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unto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08128FE4-6202-4450-9DAF-39BE54C21164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96FE42C0-83A4-4148-B24C-4A9B1772CFC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C29110C8-CB59-4F2F-B71E-099E2C767BB6}" cache="SegmentaciónDeDatos_Responsable" caption="Responsable" rowHeight="257175"/>
  <slicer name="Sprint" xr10:uid="{EAA99129-CF6C-4C41-9B6E-A530D04616EC}" cache="SegmentaciónDeDatos_Sprint" caption="Sprint" columnCount="7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A8E55-61A7-472D-AEAF-7B259D262E00}" name="Tabla1" displayName="Tabla1" ref="A3:M17" totalsRowShown="0">
  <autoFilter ref="A3:M17" xr:uid="{F5EA8E55-61A7-472D-AEAF-7B259D262E00}"/>
  <tableColumns count="13">
    <tableColumn id="1" xr3:uid="{343BC326-3D07-4EE1-9773-ECA710AF4FE3}" name="Epica"/>
    <tableColumn id="2" xr3:uid="{3B369165-13C4-47F3-89A7-C5150C0068FC}" name="Entrega de valor"/>
    <tableColumn id="3" xr3:uid="{00ABC38C-390F-4766-824B-2F15B0235DD3}" name="HA/HU"/>
    <tableColumn id="4" xr3:uid="{E4B14C9C-B3D1-4E62-B6C1-5C3E7193C4E8}" name="Sprint"/>
    <tableColumn id="5" xr3:uid="{C0FB97C9-FF11-4C05-9578-0FE429C022BE}" name="Responsable"/>
    <tableColumn id="11" xr3:uid="{9BFA5D7A-4469-4BB7-8F17-A9B85136AF79}" name="Rol" dataDxfId="5">
      <calculatedColumnFormula>IF(Tabla1[[#This Row],[Responsable]]="Carlos","bankend",IF(Tabla1[[#This Row],[Responsable]]="Andres","Frontend","PO"))</calculatedColumnFormula>
    </tableColumn>
    <tableColumn id="12" xr3:uid="{4103DEAE-C8AE-4058-909E-25798B1924E0}" name="Puntos" dataDxfId="4">
      <calculatedColumnFormula>SUM(G5:G10)</calculatedColumnFormula>
    </tableColumn>
    <tableColumn id="6" xr3:uid="{9658A137-6834-485F-952C-FF312235ECC7}" name="Progreso" dataDxfId="3" dataCellStyle="Porcentaje"/>
    <tableColumn id="13" xr3:uid="{38B4B3E7-3039-4CC3-800F-72D7E2EAA0DC}" name="Restante" dataDxfId="2" dataCellStyle="Porcentaje">
      <calculatedColumnFormula>1-Tabla1[[#This Row],[Progreso]]</calculatedColumnFormula>
    </tableColumn>
    <tableColumn id="7" xr3:uid="{18580114-7AC3-46AF-B84D-B64C13A89444}" name="Fecha Inicio" dataDxfId="1"/>
    <tableColumn id="8" xr3:uid="{66459456-99D2-4A02-A292-EE9DE084CE52}" name="Fecha fin" dataDxfId="0">
      <calculatedColumnFormula>J4+L4</calculatedColumnFormula>
    </tableColumn>
    <tableColumn id="9" xr3:uid="{FF0B868C-4BFA-4652-98E1-D06DCE40F38E}" name="Duracion Dias"/>
    <tableColumn id="10" xr3:uid="{9C43BBC3-EE07-488B-A074-82F5A20D13D6}" name="%Dias">
      <calculatedColumnFormula>L4*H4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9E9-8B31-4B27-8270-0E1B05CBDDCF}">
  <dimension ref="A1:M20"/>
  <sheetViews>
    <sheetView workbookViewId="0">
      <selection activeCell="L19" sqref="L19"/>
    </sheetView>
  </sheetViews>
  <sheetFormatPr baseColWidth="10" defaultRowHeight="15" x14ac:dyDescent="0.25"/>
  <cols>
    <col min="1" max="1" width="17.85546875" bestFit="1" customWidth="1"/>
    <col min="2" max="2" width="15.42578125" bestFit="1" customWidth="1"/>
    <col min="3" max="3" width="3" bestFit="1" customWidth="1"/>
    <col min="4" max="4" width="2" bestFit="1" customWidth="1"/>
    <col min="5" max="8" width="3" bestFit="1" customWidth="1"/>
    <col min="9" max="11" width="4" bestFit="1" customWidth="1"/>
    <col min="12" max="12" width="17.85546875" bestFit="1" customWidth="1"/>
    <col min="13" max="13" width="16.85546875" bestFit="1" customWidth="1"/>
  </cols>
  <sheetData>
    <row r="1" spans="1:2" x14ac:dyDescent="0.25">
      <c r="A1" s="4" t="s">
        <v>38</v>
      </c>
      <c r="B1" t="s">
        <v>37</v>
      </c>
    </row>
    <row r="2" spans="1:2" x14ac:dyDescent="0.25">
      <c r="A2" s="5" t="s">
        <v>33</v>
      </c>
      <c r="B2">
        <v>222</v>
      </c>
    </row>
    <row r="3" spans="1:2" x14ac:dyDescent="0.25">
      <c r="A3" s="5" t="s">
        <v>32</v>
      </c>
      <c r="B3">
        <v>166</v>
      </c>
    </row>
    <row r="4" spans="1:2" x14ac:dyDescent="0.25">
      <c r="A4" s="5" t="s">
        <v>34</v>
      </c>
      <c r="B4">
        <v>279</v>
      </c>
    </row>
    <row r="5" spans="1:2" x14ac:dyDescent="0.25">
      <c r="A5" s="5" t="s">
        <v>39</v>
      </c>
      <c r="B5">
        <v>667</v>
      </c>
    </row>
    <row r="18" spans="12:13" x14ac:dyDescent="0.25">
      <c r="L18" s="4" t="s">
        <v>38</v>
      </c>
      <c r="M18" t="s">
        <v>41</v>
      </c>
    </row>
    <row r="19" spans="12:13" x14ac:dyDescent="0.25">
      <c r="L19" s="5" t="s">
        <v>9</v>
      </c>
      <c r="M19" s="7">
        <v>14</v>
      </c>
    </row>
    <row r="20" spans="12:13" x14ac:dyDescent="0.25">
      <c r="L20" s="5" t="s">
        <v>39</v>
      </c>
      <c r="M20" s="7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96C-5E03-4E98-A058-3CBF2B4FF1EA}">
  <dimension ref="A1:M17"/>
  <sheetViews>
    <sheetView tabSelected="1" zoomScale="130" zoomScaleNormal="130" workbookViewId="0">
      <selection activeCell="C15" sqref="C15"/>
    </sheetView>
  </sheetViews>
  <sheetFormatPr baseColWidth="10" defaultRowHeight="15" x14ac:dyDescent="0.25"/>
  <cols>
    <col min="2" max="2" width="17.85546875" customWidth="1"/>
    <col min="3" max="4" width="13.28515625" customWidth="1"/>
    <col min="5" max="5" width="14.85546875" customWidth="1"/>
    <col min="6" max="6" width="8.85546875" bestFit="1" customWidth="1"/>
    <col min="7" max="7" width="8.85546875" customWidth="1"/>
    <col min="10" max="10" width="13.85546875" customWidth="1"/>
    <col min="12" max="12" width="15.7109375" customWidth="1"/>
    <col min="13" max="13" width="13.7109375" customWidth="1"/>
  </cols>
  <sheetData>
    <row r="1" spans="1:13" ht="328.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x14ac:dyDescent="0.25">
      <c r="A3" t="s">
        <v>0</v>
      </c>
      <c r="B3" t="s">
        <v>1</v>
      </c>
      <c r="C3" t="s">
        <v>2</v>
      </c>
      <c r="D3" t="s">
        <v>23</v>
      </c>
      <c r="E3" t="s">
        <v>3</v>
      </c>
      <c r="F3" t="s">
        <v>35</v>
      </c>
      <c r="G3" t="s">
        <v>36</v>
      </c>
      <c r="H3" t="s">
        <v>4</v>
      </c>
      <c r="I3" t="s">
        <v>40</v>
      </c>
      <c r="J3" t="s">
        <v>5</v>
      </c>
      <c r="K3" t="s">
        <v>6</v>
      </c>
      <c r="L3" t="s">
        <v>24</v>
      </c>
      <c r="M3" t="s">
        <v>7</v>
      </c>
    </row>
    <row r="4" spans="1:13" x14ac:dyDescent="0.25">
      <c r="A4" t="s">
        <v>9</v>
      </c>
      <c r="B4" t="s">
        <v>22</v>
      </c>
      <c r="C4" s="3" t="s">
        <v>9</v>
      </c>
      <c r="D4" t="s">
        <v>26</v>
      </c>
      <c r="E4" t="s">
        <v>34</v>
      </c>
      <c r="F4" t="str">
        <f>IF(Tabla1[[#This Row],[Responsable]]="Carlos","bankend",IF(Tabla1[[#This Row],[Responsable]]="Andres","Frontend","PO"))</f>
        <v>PO</v>
      </c>
      <c r="G4">
        <f t="shared" ref="G4:G12" si="0">SUM(G5:G10)</f>
        <v>271</v>
      </c>
      <c r="H4" s="2">
        <f>AVERAGE(H5,H12)</f>
        <v>0.41000000000000003</v>
      </c>
      <c r="I4" s="2">
        <f>1-Tabla1[[#This Row],[Progreso]]</f>
        <v>0.59</v>
      </c>
      <c r="J4" s="1">
        <v>45929</v>
      </c>
      <c r="K4" s="1">
        <f>J4+L4</f>
        <v>45959</v>
      </c>
      <c r="L4">
        <v>30</v>
      </c>
      <c r="M4">
        <f>L4*H4</f>
        <v>12.3</v>
      </c>
    </row>
    <row r="5" spans="1:13" x14ac:dyDescent="0.25">
      <c r="A5" t="s">
        <v>9</v>
      </c>
      <c r="B5" t="s">
        <v>8</v>
      </c>
      <c r="C5" t="s">
        <v>8</v>
      </c>
      <c r="D5" t="s">
        <v>27</v>
      </c>
      <c r="E5" t="s">
        <v>32</v>
      </c>
      <c r="F5" t="str">
        <f>IF(Tabla1[[#This Row],[Responsable]]="Carlos","bankend",IF(Tabla1[[#This Row],[Responsable]]="Andres","Frontend","PO"))</f>
        <v>bankend</v>
      </c>
      <c r="G5">
        <f t="shared" si="0"/>
        <v>138</v>
      </c>
      <c r="H5" s="2">
        <f>AVERAGE(H6:H11)</f>
        <v>0.40000000000000008</v>
      </c>
      <c r="I5" s="2">
        <f>1-Tabla1[[#This Row],[Progreso]]</f>
        <v>0.59999999999999987</v>
      </c>
      <c r="J5" s="1">
        <v>45930</v>
      </c>
      <c r="K5" s="1">
        <f t="shared" ref="K5:K17" si="1">J5+L5</f>
        <v>45945</v>
      </c>
      <c r="L5">
        <v>15</v>
      </c>
      <c r="M5">
        <f t="shared" ref="M5:M17" si="2">L5*H5</f>
        <v>6.0000000000000009</v>
      </c>
    </row>
    <row r="6" spans="1:13" x14ac:dyDescent="0.25">
      <c r="A6" t="s">
        <v>9</v>
      </c>
      <c r="B6" t="s">
        <v>8</v>
      </c>
      <c r="C6" t="s">
        <v>11</v>
      </c>
      <c r="D6" t="s">
        <v>28</v>
      </c>
      <c r="E6" t="s">
        <v>33</v>
      </c>
      <c r="F6" t="str">
        <f>IF(Tabla1[[#This Row],[Responsable]]="Carlos","bankend",IF(Tabla1[[#This Row],[Responsable]]="Andres","Frontend","PO"))</f>
        <v>Frontend</v>
      </c>
      <c r="G6">
        <v>8</v>
      </c>
      <c r="H6" s="2">
        <v>0.4</v>
      </c>
      <c r="I6" s="2">
        <f>1-Tabla1[[#This Row],[Progreso]]</f>
        <v>0.6</v>
      </c>
      <c r="J6" s="1">
        <v>45931</v>
      </c>
      <c r="K6" s="1">
        <f t="shared" si="1"/>
        <v>45937</v>
      </c>
      <c r="L6">
        <v>6</v>
      </c>
      <c r="M6">
        <f t="shared" si="2"/>
        <v>2.4000000000000004</v>
      </c>
    </row>
    <row r="7" spans="1:13" x14ac:dyDescent="0.25">
      <c r="A7" t="s">
        <v>9</v>
      </c>
      <c r="B7" t="s">
        <v>8</v>
      </c>
      <c r="C7" t="s">
        <v>12</v>
      </c>
      <c r="D7" t="s">
        <v>28</v>
      </c>
      <c r="E7" t="s">
        <v>32</v>
      </c>
      <c r="F7" t="str">
        <f>IF(Tabla1[[#This Row],[Responsable]]="Carlos","bankend",IF(Tabla1[[#This Row],[Responsable]]="Andres","Frontend","PO"))</f>
        <v>bankend</v>
      </c>
      <c r="G7">
        <v>3</v>
      </c>
      <c r="H7" s="2">
        <v>0.2</v>
      </c>
      <c r="I7" s="2">
        <f>1-Tabla1[[#This Row],[Progreso]]</f>
        <v>0.8</v>
      </c>
      <c r="J7" s="1">
        <v>45932</v>
      </c>
      <c r="K7" s="1">
        <f t="shared" si="1"/>
        <v>45938</v>
      </c>
      <c r="L7">
        <v>6</v>
      </c>
      <c r="M7">
        <f t="shared" si="2"/>
        <v>1.2000000000000002</v>
      </c>
    </row>
    <row r="8" spans="1:13" x14ac:dyDescent="0.25">
      <c r="A8" t="s">
        <v>9</v>
      </c>
      <c r="B8" t="s">
        <v>8</v>
      </c>
      <c r="C8" t="s">
        <v>13</v>
      </c>
      <c r="D8" t="s">
        <v>29</v>
      </c>
      <c r="E8" t="s">
        <v>32</v>
      </c>
      <c r="F8" t="str">
        <f>IF(Tabla1[[#This Row],[Responsable]]="Carlos","bankend",IF(Tabla1[[#This Row],[Responsable]]="Andres","Frontend","PO"))</f>
        <v>bankend</v>
      </c>
      <c r="G8">
        <v>7</v>
      </c>
      <c r="H8" s="2">
        <v>0</v>
      </c>
      <c r="I8" s="2">
        <f>1-Tabla1[[#This Row],[Progreso]]</f>
        <v>1</v>
      </c>
      <c r="J8" s="1">
        <v>45933</v>
      </c>
      <c r="K8" s="1">
        <f t="shared" si="1"/>
        <v>45939</v>
      </c>
      <c r="L8">
        <v>6</v>
      </c>
      <c r="M8">
        <f t="shared" si="2"/>
        <v>0</v>
      </c>
    </row>
    <row r="9" spans="1:13" x14ac:dyDescent="0.25">
      <c r="A9" t="s">
        <v>9</v>
      </c>
      <c r="B9" t="s">
        <v>8</v>
      </c>
      <c r="C9" t="s">
        <v>14</v>
      </c>
      <c r="D9" t="s">
        <v>29</v>
      </c>
      <c r="E9" t="s">
        <v>34</v>
      </c>
      <c r="F9" t="str">
        <f>IF(Tabla1[[#This Row],[Responsable]]="Carlos","bankend",IF(Tabla1[[#This Row],[Responsable]]="Andres","Frontend","PO"))</f>
        <v>PO</v>
      </c>
      <c r="G9">
        <v>3</v>
      </c>
      <c r="H9" s="2">
        <v>0.8</v>
      </c>
      <c r="I9" s="2">
        <f>1-Tabla1[[#This Row],[Progreso]]</f>
        <v>0.19999999999999996</v>
      </c>
      <c r="J9" s="1">
        <v>45934</v>
      </c>
      <c r="K9" s="1">
        <f t="shared" si="1"/>
        <v>45940</v>
      </c>
      <c r="L9">
        <v>6</v>
      </c>
      <c r="M9">
        <f t="shared" si="2"/>
        <v>4.8000000000000007</v>
      </c>
    </row>
    <row r="10" spans="1:13" x14ac:dyDescent="0.25">
      <c r="A10" t="s">
        <v>9</v>
      </c>
      <c r="B10" t="s">
        <v>8</v>
      </c>
      <c r="C10" t="s">
        <v>15</v>
      </c>
      <c r="D10" t="s">
        <v>29</v>
      </c>
      <c r="E10" t="s">
        <v>33</v>
      </c>
      <c r="F10" t="str">
        <f>IF(Tabla1[[#This Row],[Responsable]]="Carlos","bankend",IF(Tabla1[[#This Row],[Responsable]]="Andres","Frontend","PO"))</f>
        <v>Frontend</v>
      </c>
      <c r="G10">
        <f t="shared" si="0"/>
        <v>112</v>
      </c>
      <c r="H10" s="2">
        <v>0</v>
      </c>
      <c r="I10" s="2">
        <f>1-Tabla1[[#This Row],[Progreso]]</f>
        <v>1</v>
      </c>
      <c r="J10" s="1">
        <v>45935</v>
      </c>
      <c r="K10" s="1">
        <f t="shared" si="1"/>
        <v>45941</v>
      </c>
      <c r="L10">
        <v>6</v>
      </c>
      <c r="M10">
        <f t="shared" si="2"/>
        <v>0</v>
      </c>
    </row>
    <row r="11" spans="1:13" x14ac:dyDescent="0.25">
      <c r="A11" t="s">
        <v>9</v>
      </c>
      <c r="B11" t="s">
        <v>8</v>
      </c>
      <c r="C11" t="s">
        <v>16</v>
      </c>
      <c r="D11" t="s">
        <v>30</v>
      </c>
      <c r="E11" t="s">
        <v>34</v>
      </c>
      <c r="F11" t="str">
        <f>IF(Tabla1[[#This Row],[Responsable]]="Carlos","bankend",IF(Tabla1[[#This Row],[Responsable]]="Andres","Frontend","PO"))</f>
        <v>PO</v>
      </c>
      <c r="G11">
        <v>5</v>
      </c>
      <c r="H11" s="2">
        <v>1</v>
      </c>
      <c r="I11" s="2">
        <f>1-Tabla1[[#This Row],[Progreso]]</f>
        <v>0</v>
      </c>
      <c r="J11" s="1">
        <v>45936</v>
      </c>
      <c r="K11" s="1">
        <f t="shared" si="1"/>
        <v>45942</v>
      </c>
      <c r="L11">
        <v>6</v>
      </c>
      <c r="M11">
        <f t="shared" si="2"/>
        <v>6</v>
      </c>
    </row>
    <row r="12" spans="1:13" x14ac:dyDescent="0.25">
      <c r="A12" t="s">
        <v>9</v>
      </c>
      <c r="B12" t="s">
        <v>10</v>
      </c>
      <c r="C12" t="s">
        <v>10</v>
      </c>
      <c r="D12" t="s">
        <v>26</v>
      </c>
      <c r="E12" t="s">
        <v>33</v>
      </c>
      <c r="F12" t="str">
        <f>IF(Tabla1[[#This Row],[Responsable]]="Carlos","bankend",IF(Tabla1[[#This Row],[Responsable]]="Andres","Frontend","PO"))</f>
        <v>Frontend</v>
      </c>
      <c r="G12">
        <f t="shared" si="0"/>
        <v>60</v>
      </c>
      <c r="H12" s="2">
        <f>AVERAGE(H13:H17)</f>
        <v>0.42000000000000004</v>
      </c>
      <c r="I12" s="2">
        <f>1-Tabla1[[#This Row],[Progreso]]</f>
        <v>0.57999999999999996</v>
      </c>
      <c r="J12" s="1">
        <v>45945</v>
      </c>
      <c r="K12" s="1">
        <f t="shared" si="1"/>
        <v>45960</v>
      </c>
      <c r="L12">
        <v>15</v>
      </c>
      <c r="M12">
        <f t="shared" si="2"/>
        <v>6.3000000000000007</v>
      </c>
    </row>
    <row r="13" spans="1:13" x14ac:dyDescent="0.25">
      <c r="A13" t="s">
        <v>9</v>
      </c>
      <c r="B13" t="s">
        <v>10</v>
      </c>
      <c r="C13" t="s">
        <v>17</v>
      </c>
      <c r="D13" t="s">
        <v>31</v>
      </c>
      <c r="E13" t="s">
        <v>32</v>
      </c>
      <c r="F13" t="str">
        <f>IF(Tabla1[[#This Row],[Responsable]]="Carlos","bankend",IF(Tabla1[[#This Row],[Responsable]]="Andres","Frontend","PO"))</f>
        <v>bankend</v>
      </c>
      <c r="G13">
        <v>13</v>
      </c>
      <c r="H13" s="2">
        <v>0.1</v>
      </c>
      <c r="I13" s="2">
        <f>1-Tabla1[[#This Row],[Progreso]]</f>
        <v>0.9</v>
      </c>
      <c r="J13" s="1">
        <v>45947</v>
      </c>
      <c r="K13" s="1">
        <f t="shared" si="1"/>
        <v>45953</v>
      </c>
      <c r="L13">
        <v>6</v>
      </c>
      <c r="M13">
        <f t="shared" si="2"/>
        <v>0.60000000000000009</v>
      </c>
    </row>
    <row r="14" spans="1:13" x14ac:dyDescent="0.25">
      <c r="A14" t="s">
        <v>9</v>
      </c>
      <c r="B14" t="s">
        <v>10</v>
      </c>
      <c r="C14" t="s">
        <v>18</v>
      </c>
      <c r="D14" t="s">
        <v>31</v>
      </c>
      <c r="E14" t="s">
        <v>33</v>
      </c>
      <c r="F14" t="str">
        <f>IF(Tabla1[[#This Row],[Responsable]]="Carlos","bankend",IF(Tabla1[[#This Row],[Responsable]]="Andres","Frontend","PO"))</f>
        <v>Frontend</v>
      </c>
      <c r="G14">
        <v>21</v>
      </c>
      <c r="H14" s="2">
        <v>1</v>
      </c>
      <c r="I14" s="2">
        <f>1-Tabla1[[#This Row],[Progreso]]</f>
        <v>0</v>
      </c>
      <c r="J14" s="1">
        <v>45948</v>
      </c>
      <c r="K14" s="1">
        <f t="shared" si="1"/>
        <v>45954</v>
      </c>
      <c r="L14">
        <v>6</v>
      </c>
      <c r="M14">
        <f t="shared" si="2"/>
        <v>6</v>
      </c>
    </row>
    <row r="15" spans="1:13" x14ac:dyDescent="0.25">
      <c r="A15" t="s">
        <v>9</v>
      </c>
      <c r="B15" t="s">
        <v>10</v>
      </c>
      <c r="C15" t="s">
        <v>19</v>
      </c>
      <c r="D15" t="s">
        <v>25</v>
      </c>
      <c r="E15" t="s">
        <v>32</v>
      </c>
      <c r="F15" t="str">
        <f>IF(Tabla1[[#This Row],[Responsable]]="Carlos","bankend",IF(Tabla1[[#This Row],[Responsable]]="Andres","Frontend","PO"))</f>
        <v>bankend</v>
      </c>
      <c r="G15">
        <v>5</v>
      </c>
      <c r="H15" s="2">
        <v>0</v>
      </c>
      <c r="I15" s="2">
        <f>1-Tabla1[[#This Row],[Progreso]]</f>
        <v>1</v>
      </c>
      <c r="J15" s="1">
        <v>45949</v>
      </c>
      <c r="K15" s="1">
        <f t="shared" si="1"/>
        <v>45955</v>
      </c>
      <c r="L15">
        <v>6</v>
      </c>
      <c r="M15">
        <f t="shared" si="2"/>
        <v>0</v>
      </c>
    </row>
    <row r="16" spans="1:13" x14ac:dyDescent="0.25">
      <c r="A16" t="s">
        <v>9</v>
      </c>
      <c r="B16" t="s">
        <v>10</v>
      </c>
      <c r="C16" t="s">
        <v>20</v>
      </c>
      <c r="D16" t="s">
        <v>25</v>
      </c>
      <c r="E16" t="s">
        <v>33</v>
      </c>
      <c r="F16" t="str">
        <f>IF(Tabla1[[#This Row],[Responsable]]="Carlos","bankend",IF(Tabla1[[#This Row],[Responsable]]="Andres","Frontend","PO"))</f>
        <v>Frontend</v>
      </c>
      <c r="G16">
        <v>8</v>
      </c>
      <c r="H16" s="2">
        <v>1</v>
      </c>
      <c r="I16" s="2">
        <f>1-Tabla1[[#This Row],[Progreso]]</f>
        <v>0</v>
      </c>
      <c r="J16" s="1">
        <v>45950</v>
      </c>
      <c r="K16" s="1">
        <f t="shared" si="1"/>
        <v>45956</v>
      </c>
      <c r="L16">
        <v>6</v>
      </c>
      <c r="M16">
        <f t="shared" si="2"/>
        <v>6</v>
      </c>
    </row>
    <row r="17" spans="1:13" x14ac:dyDescent="0.25">
      <c r="A17" t="s">
        <v>9</v>
      </c>
      <c r="B17" t="s">
        <v>10</v>
      </c>
      <c r="C17" t="s">
        <v>21</v>
      </c>
      <c r="D17" t="s">
        <v>25</v>
      </c>
      <c r="E17" t="s">
        <v>33</v>
      </c>
      <c r="F17" t="str">
        <f>IF(Tabla1[[#This Row],[Responsable]]="Carlos","bankend",IF(Tabla1[[#This Row],[Responsable]]="Andres","Frontend","PO"))</f>
        <v>Frontend</v>
      </c>
      <c r="G17">
        <v>13</v>
      </c>
      <c r="H17" s="2">
        <v>0</v>
      </c>
      <c r="I17" s="2">
        <f>1-Tabla1[[#This Row],[Progreso]]</f>
        <v>1</v>
      </c>
      <c r="J17" s="1">
        <v>45953</v>
      </c>
      <c r="K17" s="1">
        <f t="shared" si="1"/>
        <v>45959</v>
      </c>
      <c r="L17">
        <v>6</v>
      </c>
      <c r="M17">
        <f t="shared" si="2"/>
        <v>0</v>
      </c>
    </row>
  </sheetData>
  <mergeCells count="1">
    <mergeCell ref="A1:M1"/>
  </mergeCells>
  <phoneticPr fontId="3" type="noConversion"/>
  <dataValidations count="1">
    <dataValidation type="list" allowBlank="1" showInputMessage="1" showErrorMessage="1" sqref="E4:E17" xr:uid="{0AB79908-D24E-4254-8F66-8CEFB13D7C22}">
      <formula1>"Andres,Carlos,Ivan"</formula1>
    </dataValidation>
  </dataValidation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Callejas Jaramillo</dc:creator>
  <cp:lastModifiedBy>Andres Felipe Callejas Jaramillo</cp:lastModifiedBy>
  <dcterms:created xsi:type="dcterms:W3CDTF">2025-09-29T22:51:52Z</dcterms:created>
  <dcterms:modified xsi:type="dcterms:W3CDTF">2025-10-24T00:57:21Z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2025-09-30T00:12:12Z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59bd19e9-9cbb-4610-8622-1e5860b6a2e7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